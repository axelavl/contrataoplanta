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90 dias" sheetId="1" state="visible" r:id="rId3"/>
    <sheet name="KPIs y metas" sheetId="2" state="visible" r:id="rId4"/>
    <sheet name="Hallazgos del siti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<sst xmlns="http://schemas.openxmlformats.org/spreadsheetml/2006/main" count="262" uniqueCount="174">
  <si>
    <t xml:space="preserve">Plan de lanzamiento estadoemplea - Roadmap 90 dias (1 persona, presupuesto bajo)</t>
  </si>
  <si>
    <t xml:space="preserve">Objetivo: maximizar trafico y usuarios recurrentes. Motor principal = SEO programatico. Pauta = empujon puntual, no sosten.</t>
  </si>
  <si>
    <t xml:space="preserve">ID</t>
  </si>
  <si>
    <t xml:space="preserve">Fase</t>
  </si>
  <si>
    <t xml:space="preserve">Semana</t>
  </si>
  <si>
    <t xml:space="preserve">Tarea</t>
  </si>
  <si>
    <t xml:space="preserve">Categoria</t>
  </si>
  <si>
    <t xml:space="preserve">Prioridad</t>
  </si>
  <si>
    <t xml:space="preserve">Esfuerzo (hrs)</t>
  </si>
  <si>
    <t xml:space="preserve">Costo (CLP)</t>
  </si>
  <si>
    <t xml:space="preserve">KPI / resultado esperado</t>
  </si>
  <si>
    <t xml:space="preserve">Estado</t>
  </si>
  <si>
    <t xml:space="preserve">0. Fundaciones</t>
  </si>
  <si>
    <t xml:space="preserve">Sem 1</t>
  </si>
  <si>
    <t xml:space="preserve">Conseguir dominio .cl propio corto y configurar redirect 301 desde estadoemplea.pages.dev</t>
  </si>
  <si>
    <t xml:space="preserve">Marca / Tecnico</t>
  </si>
  <si>
    <t xml:space="preserve">Alta</t>
  </si>
  <si>
    <t xml:space="preserve">Dominio propio activo con HTTPS</t>
  </si>
  <si>
    <t xml:space="preserve">Pendiente</t>
  </si>
  <si>
    <t xml:space="preserve">Diagnosticar y resolver el 'Error de seguridad' que aparece al abrir el sitio en navegador</t>
  </si>
  <si>
    <t xml:space="preserve">Tecnico</t>
  </si>
  <si>
    <t xml:space="preserve">Sitio carga sin advertencias de seguridad</t>
  </si>
  <si>
    <t xml:space="preserve">Verificar ambos dominios (pages.dev y backend) en Google Search Console</t>
  </si>
  <si>
    <t xml:space="preserve">SEO</t>
  </si>
  <si>
    <t xml:space="preserve">Propiedades verificadas en GSC</t>
  </si>
  <si>
    <t xml:space="preserve">Confirmar que el sitemap dinamico carga y enviarlo en Search Console</t>
  </si>
  <si>
    <t xml:space="preserve">Sitemap aceptado, URLs descubiertas</t>
  </si>
  <si>
    <t xml:space="preserve">Sem 2</t>
  </si>
  <si>
    <t xml:space="preserve">Agregar linea 'Sitemap:' en robots.txt y asegurar senal search=yes</t>
  </si>
  <si>
    <t xml:space="preserve">Media</t>
  </si>
  <si>
    <t xml:space="preserve">robots.txt apunta al sitemap</t>
  </si>
  <si>
    <t xml:space="preserve">Corregir el desfase de 'ultima actualizacion' (mostraba dato de hace dias)</t>
  </si>
  <si>
    <t xml:space="preserve">Producto / Confianza</t>
  </si>
  <si>
    <t xml:space="preserve">Fecha refleja la ultima corrida real</t>
  </si>
  <si>
    <t xml:space="preserve">Validar JobPosting JSON-LD en paginas /oferta con Rich Results Test</t>
  </si>
  <si>
    <t xml:space="preserve">0 errores en prueba de resultados enriquecidos</t>
  </si>
  <si>
    <t xml:space="preserve">Configurar Umami con eventos clave (busqueda, click oferta, alta de alerta)</t>
  </si>
  <si>
    <t xml:space="preserve">Analitica</t>
  </si>
  <si>
    <t xml:space="preserve">Eventos registrandose en Umami</t>
  </si>
  <si>
    <t xml:space="preserve">1. SEO + indexacion</t>
  </si>
  <si>
    <t xml:space="preserve">Sem 3</t>
  </si>
  <si>
    <t xml:space="preserve">Solicitar/validar aparicion en Google for Jobs</t>
  </si>
  <si>
    <t xml:space="preserve">Ofertas visibles en el widget de Google Jobs</t>
  </si>
  <si>
    <t xml:space="preserve">Sem 3-4</t>
  </si>
  <si>
    <t xml:space="preserve">Crear/optimizar landing pages por region (16 regiones)</t>
  </si>
  <si>
    <t xml:space="preserve">Contenido SEO</t>
  </si>
  <si>
    <t xml:space="preserve">16 paginas indexadas por region</t>
  </si>
  <si>
    <t xml:space="preserve">Sem 4-5</t>
  </si>
  <si>
    <t xml:space="preserve">Crear landing pages por institucion top (Integra, BancoEstado, U. Chile, municipios)</t>
  </si>
  <si>
    <t xml:space="preserve">10+ paginas de institucion indexadas</t>
  </si>
  <si>
    <t xml:space="preserve">Sem 4</t>
  </si>
  <si>
    <t xml:space="preserve">Optimizar titles y meta-descriptions de listados y fichas de oferta</t>
  </si>
  <si>
    <t xml:space="preserve">CTR organico medible en GSC</t>
  </si>
  <si>
    <t xml:space="preserve">Subir la captura de email (alertas) above-the-fold, copy claro</t>
  </si>
  <si>
    <t xml:space="preserve">Producto / Retencion</t>
  </si>
  <si>
    <t xml:space="preserve">Tasa de alta de alertas &gt; 2% de visitas</t>
  </si>
  <si>
    <t xml:space="preserve">Sem 5-6</t>
  </si>
  <si>
    <t xml:space="preserve">Publicar 2 articulos guia/semana apoyandose en plantilla-seo-articulo</t>
  </si>
  <si>
    <t xml:space="preserve">8 articulos nuevos publicados</t>
  </si>
  <si>
    <t xml:space="preserve">Sem 6</t>
  </si>
  <si>
    <t xml:space="preserve">Interlinking entre guias, glosario, calculadora y listados</t>
  </si>
  <si>
    <t xml:space="preserve">Enlaces internos en todas las guias</t>
  </si>
  <si>
    <t xml:space="preserve">2. Distribucion</t>
  </si>
  <si>
    <t xml:space="preserve">Sem 7</t>
  </si>
  <si>
    <t xml:space="preserve">Crear perfiles Instagram, TikTok y LinkedIn de la marca</t>
  </si>
  <si>
    <t xml:space="preserve">Redes</t>
  </si>
  <si>
    <t xml:space="preserve">3 perfiles activos con bio + link</t>
  </si>
  <si>
    <t xml:space="preserve">Sem 7-10</t>
  </si>
  <si>
    <t xml:space="preserve">Publicar diario 'ofertas destacadas' (carruseles) usando el generador de imagen OG existente</t>
  </si>
  <si>
    <t xml:space="preserve">Redes / Contenido</t>
  </si>
  <si>
    <t xml:space="preserve">Publicacion diaria sostenida</t>
  </si>
  <si>
    <t xml:space="preserve">Sem 7-8</t>
  </si>
  <si>
    <t xml:space="preserve">Entrar y aportar en grupos de Facebook/Telegram/WhatsApp de empleo regional</t>
  </si>
  <si>
    <t xml:space="preserve">Comunidad</t>
  </si>
  <si>
    <t xml:space="preserve">Presencia util en 10+ grupos</t>
  </si>
  <si>
    <t xml:space="preserve">Sem 8-9</t>
  </si>
  <si>
    <t xml:space="preserve">Contactar cuentas/influencers de empleo publico para colaboracion</t>
  </si>
  <si>
    <t xml:space="preserve">Partnerships</t>
  </si>
  <si>
    <t xml:space="preserve">2-3 colaboraciones acordadas</t>
  </si>
  <si>
    <t xml:space="preserve">Sem 9</t>
  </si>
  <si>
    <t xml:space="preserve">Activar digest semanal por email a suscriptores</t>
  </si>
  <si>
    <t xml:space="preserve">Retencion</t>
  </si>
  <si>
    <t xml:space="preserve">Email semanal enviado, apertura &gt; 30%</t>
  </si>
  <si>
    <t xml:space="preserve">3. Pauta + optimizacion</t>
  </si>
  <si>
    <t xml:space="preserve">Sem 11</t>
  </si>
  <si>
    <t xml:space="preserve">Campana Google Ads acotada en keywords de alta intencion</t>
  </si>
  <si>
    <t xml:space="preserve">Pauta</t>
  </si>
  <si>
    <t xml:space="preserve">CPC y conversion por keyword medidos</t>
  </si>
  <si>
    <t xml:space="preserve">Sem 11-12</t>
  </si>
  <si>
    <t xml:space="preserve">Analizar canales que traen trafico y suscriptores (Umami + GSC)</t>
  </si>
  <si>
    <t xml:space="preserve">Reporte de canales por ROI</t>
  </si>
  <si>
    <t xml:space="preserve">Sem 12</t>
  </si>
  <si>
    <t xml:space="preserve">Doblar apuesta en lo que funciona; cortar lo que no rinde</t>
  </si>
  <si>
    <t xml:space="preserve">Estrategia</t>
  </si>
  <si>
    <t xml:space="preserve">Plan mes 4 basado en datos</t>
  </si>
  <si>
    <t xml:space="preserve">TOTALES</t>
  </si>
  <si>
    <t xml:space="preserve">KPIs y metas - baseline al 23-jun-2026</t>
  </si>
  <si>
    <t xml:space="preserve">Metrica</t>
  </si>
  <si>
    <t xml:space="preserve">Baseline (hoy)</t>
  </si>
  <si>
    <t xml:space="preserve">Meta 30 dias</t>
  </si>
  <si>
    <t xml:space="preserve">Meta 60 dias</t>
  </si>
  <si>
    <t xml:space="preserve">Meta 90 dias</t>
  </si>
  <si>
    <t xml:space="preserve">Como se mide</t>
  </si>
  <si>
    <t xml:space="preserve">Visitas organicas / mes</t>
  </si>
  <si>
    <t xml:space="preserve">Por medir (instalar Umami)</t>
  </si>
  <si>
    <t xml:space="preserve">+ medible</t>
  </si>
  <si>
    <t xml:space="preserve">Crecimiento m/m</t>
  </si>
  <si>
    <t xml:space="preserve">x2 vs mes 1</t>
  </si>
  <si>
    <t xml:space="preserve">Umami</t>
  </si>
  <si>
    <t xml:space="preserve">Paginas indexadas en Google</t>
  </si>
  <si>
    <t xml:space="preserve">Por medir</t>
  </si>
  <si>
    <t xml:space="preserve">&gt; 200</t>
  </si>
  <si>
    <t xml:space="preserve">&gt; 800</t>
  </si>
  <si>
    <t xml:space="preserve">Todas las ofertas + guias</t>
  </si>
  <si>
    <t xml:space="preserve">Search Console</t>
  </si>
  <si>
    <t xml:space="preserve">Apariciones en Google for Jobs</t>
  </si>
  <si>
    <t xml:space="preserve">0 / por validar</t>
  </si>
  <si>
    <t xml:space="preserve">Validado</t>
  </si>
  <si>
    <t xml:space="preserve">Estable</t>
  </si>
  <si>
    <t xml:space="preserve">Creciente</t>
  </si>
  <si>
    <t xml:space="preserve">Search Console / busqueda</t>
  </si>
  <si>
    <t xml:space="preserve">Suscriptores a alertas</t>
  </si>
  <si>
    <t xml:space="preserve">Captura activa</t>
  </si>
  <si>
    <t xml:space="preserve">Crecimiento</t>
  </si>
  <si>
    <t xml:space="preserve">Base recurrente</t>
  </si>
  <si>
    <t xml:space="preserve">Tabla de alertas (Resend)</t>
  </si>
  <si>
    <t xml:space="preserve">Ofertas activas</t>
  </si>
  <si>
    <t xml:space="preserve">1064</t>
  </si>
  <si>
    <t xml:space="preserve">&gt; 1000</t>
  </si>
  <si>
    <t xml:space="preserve">&gt; 1200</t>
  </si>
  <si>
    <t xml:space="preserve">API /api/estadisticas</t>
  </si>
  <si>
    <t xml:space="preserve">Instituciones activas</t>
  </si>
  <si>
    <t xml:space="preserve">197</t>
  </si>
  <si>
    <t xml:space="preserve">&gt; 197</t>
  </si>
  <si>
    <t xml:space="preserve">&gt; 210</t>
  </si>
  <si>
    <t xml:space="preserve">&gt; 230</t>
  </si>
  <si>
    <t xml:space="preserve">URLs de oferta validas</t>
  </si>
  <si>
    <t xml:space="preserve">Revisar % roto</t>
  </si>
  <si>
    <t xml:space="preserve">&gt; 95% validas</t>
  </si>
  <si>
    <t xml:space="preserve">&gt; 95%</t>
  </si>
  <si>
    <t xml:space="preserve">&gt; 97%</t>
  </si>
  <si>
    <t xml:space="preserve">validate_offer_urls.py</t>
  </si>
  <si>
    <t xml:space="preserve">Publicaciones en redes / semana</t>
  </si>
  <si>
    <t xml:space="preserve">0</t>
  </si>
  <si>
    <t xml:space="preserve">3-5</t>
  </si>
  <si>
    <t xml:space="preserve">Diaria</t>
  </si>
  <si>
    <t xml:space="preserve">Manual</t>
  </si>
  <si>
    <t xml:space="preserve">Hallazgos de la revision en vivo (23-jun-2026)</t>
  </si>
  <si>
    <t xml:space="preserve">Hallazgo</t>
  </si>
  <si>
    <t xml:space="preserve">Severidad</t>
  </si>
  <si>
    <t xml:space="preserve">Detalle</t>
  </si>
  <si>
    <t xml:space="preserve">Accion recomendada</t>
  </si>
  <si>
    <t xml:space="preserve">Error de seguridad en navegador</t>
  </si>
  <si>
    <t xml:space="preserve">El sitio mostro una interstitial 'Error de seguridad' al abrirlo en Chrome, aunque responde bien por fetch directo. Posible certificado/HSTS o challenge.</t>
  </si>
  <si>
    <t xml:space="preserve">Verificar el certificado SSL y que un usuario real no vea advertencias. Bloquea conversion si persiste.</t>
  </si>
  <si>
    <t xml:space="preserve">Dominios de marca caidos + URL .pages.dev</t>
  </si>
  <si>
    <t xml:space="preserve">Los dominios legacy no resuelven y el sitio vive en estadoemplea.pages.dev, poco memorable y resta confianza.</t>
  </si>
  <si>
    <t xml:space="preserve">Conseguir dominio .cl propio y redirigir.</t>
  </si>
  <si>
    <t xml:space="preserve">Sitemap cross-domain</t>
  </si>
  <si>
    <t xml:space="preserve">El sitemap de Pages delega al backend (Railway) y las URLs apuntan a pages.dev. Requiere verificar ambos dominios en GSC para que indexe.</t>
  </si>
  <si>
    <t xml:space="preserve">Verificar ambos en Search Console y confirmar descubrimiento de URLs.</t>
  </si>
  <si>
    <t xml:space="preserve">Home renderizada por JS</t>
  </si>
  <si>
    <t xml:space="preserve">Las estadisticas de la portada cargan por JavaScript (se ven '-' en el HTML inicial). Google puede renderizar JS pero es mas lento/fragil.</t>
  </si>
  <si>
    <t xml:space="preserve">Priorizar SSR en /oferta; considerar SSR de stats clave.</t>
  </si>
  <si>
    <t xml:space="preserve">Desfase de 'ultima actualizacion'</t>
  </si>
  <si>
    <t xml:space="preserve">El indicador mostraba ~3 dias de antiguedad mientras hay ofertas scrapeadas hoy. Mina la promesa de 'actualizado a diario'.</t>
  </si>
  <si>
    <t xml:space="preserve">Corregir la fuente del indicador para reflejar la corrida real.</t>
  </si>
  <si>
    <t xml:space="preserve">Base de contenido ya solida</t>
  </si>
  <si>
    <t xml:space="preserve">Positivo</t>
  </si>
  <si>
    <t xml:space="preserve">Existen guias, glosario, calculadora de renta, FAQ, plantillas CV y paginas SSR por oferta con JobPosting. Buena base SEO.</t>
  </si>
  <si>
    <t xml:space="preserve">Aprovechar y ampliar: landing por region e institucion, interlinking.</t>
  </si>
  <si>
    <t xml:space="preserve">Volumen de datos competitivo</t>
  </si>
  <si>
    <t xml:space="preserve">~1064 ofertas activas, 197 instituciones, 8 sectores. Fuentes top: Fundacion Integra, BancoEstado, U. de Chile, municipios.</t>
  </si>
  <si>
    <t xml:space="preserve">Usar el volumen como gancho ('1000+ ofertas activas hoy').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</si>
</sst>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DEBF7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F2F2F2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3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3.75" hidden="false" customHeight="true" outlineLevel="0" collapsed="false">
      <c r="A5" s="4" t="n">
        <v>1</v>
      </c>
      <c r="B5" s="5" t="s">
        <v>12</v>
      </c>
      <c r="C5" s="4" t="s">
        <v>13</v>
      </c>
      <c r="D5" s="6" t="s">
        <v>14</v>
      </c>
      <c r="E5" s="4" t="s">
        <v>15</v>
      </c>
      <c r="F5" s="7" t="s">
        <v>16</v>
      </c>
      <c r="G5" s="4" t="n">
        <v>4</v>
      </c>
      <c r="H5" s="8" t="n">
        <v>10000</v>
      </c>
      <c r="I5" s="6" t="s">
        <v>17</v>
      </c>
      <c r="J5" s="9" t="s">
        <v>18</v>
      </c>
    </row>
    <row r="6" customFormat="false" ht="33.75" hidden="false" customHeight="true" outlineLevel="0" collapsed="false">
      <c r="A6" s="4" t="n">
        <v>2</v>
      </c>
      <c r="B6" s="5" t="s">
        <v>12</v>
      </c>
      <c r="C6" s="4" t="s">
        <v>13</v>
      </c>
      <c r="D6" s="6" t="s">
        <v>19</v>
      </c>
      <c r="E6" s="4" t="s">
        <v>20</v>
      </c>
      <c r="F6" s="7" t="s">
        <v>16</v>
      </c>
      <c r="G6" s="4" t="n">
        <v>3</v>
      </c>
      <c r="H6" s="8" t="n">
        <v>0</v>
      </c>
      <c r="I6" s="6" t="s">
        <v>21</v>
      </c>
      <c r="J6" s="9" t="s">
        <v>18</v>
      </c>
    </row>
    <row r="7" customFormat="false" ht="33.75" hidden="false" customHeight="true" outlineLevel="0" collapsed="false">
      <c r="A7" s="4" t="n">
        <v>3</v>
      </c>
      <c r="B7" s="5" t="s">
        <v>12</v>
      </c>
      <c r="C7" s="4" t="s">
        <v>13</v>
      </c>
      <c r="D7" s="6" t="s">
        <v>22</v>
      </c>
      <c r="E7" s="4" t="s">
        <v>23</v>
      </c>
      <c r="F7" s="7" t="s">
        <v>16</v>
      </c>
      <c r="G7" s="4" t="n">
        <v>2</v>
      </c>
      <c r="H7" s="8" t="n">
        <v>0</v>
      </c>
      <c r="I7" s="6" t="s">
        <v>24</v>
      </c>
      <c r="J7" s="9" t="s">
        <v>18</v>
      </c>
    </row>
    <row r="8" customFormat="false" ht="33.75" hidden="false" customHeight="true" outlineLevel="0" collapsed="false">
      <c r="A8" s="4" t="n">
        <v>4</v>
      </c>
      <c r="B8" s="5" t="s">
        <v>12</v>
      </c>
      <c r="C8" s="4" t="s">
        <v>13</v>
      </c>
      <c r="D8" s="6" t="s">
        <v>25</v>
      </c>
      <c r="E8" s="4" t="s">
        <v>23</v>
      </c>
      <c r="F8" s="7" t="s">
        <v>16</v>
      </c>
      <c r="G8" s="4" t="n">
        <v>2</v>
      </c>
      <c r="H8" s="8" t="n">
        <v>0</v>
      </c>
      <c r="I8" s="6" t="s">
        <v>26</v>
      </c>
      <c r="J8" s="9" t="s">
        <v>18</v>
      </c>
    </row>
    <row r="9" customFormat="false" ht="33.75" hidden="false" customHeight="true" outlineLevel="0" collapsed="false">
      <c r="A9" s="4" t="n">
        <v>5</v>
      </c>
      <c r="B9" s="5" t="s">
        <v>12</v>
      </c>
      <c r="C9" s="4" t="s">
        <v>27</v>
      </c>
      <c r="D9" s="6" t="s">
        <v>28</v>
      </c>
      <c r="E9" s="4" t="s">
        <v>23</v>
      </c>
      <c r="F9" s="10" t="s">
        <v>29</v>
      </c>
      <c r="G9" s="4" t="n">
        <v>1</v>
      </c>
      <c r="H9" s="8" t="n">
        <v>0</v>
      </c>
      <c r="I9" s="6" t="s">
        <v>30</v>
      </c>
      <c r="J9" s="9" t="s">
        <v>18</v>
      </c>
    </row>
    <row r="10" customFormat="false" ht="33.75" hidden="false" customHeight="true" outlineLevel="0" collapsed="false">
      <c r="A10" s="4" t="n">
        <v>6</v>
      </c>
      <c r="B10" s="5" t="s">
        <v>12</v>
      </c>
      <c r="C10" s="4" t="s">
        <v>27</v>
      </c>
      <c r="D10" s="6" t="s">
        <v>31</v>
      </c>
      <c r="E10" s="4" t="s">
        <v>32</v>
      </c>
      <c r="F10" s="10" t="s">
        <v>29</v>
      </c>
      <c r="G10" s="4" t="n">
        <v>3</v>
      </c>
      <c r="H10" s="8" t="n">
        <v>0</v>
      </c>
      <c r="I10" s="6" t="s">
        <v>33</v>
      </c>
      <c r="J10" s="9" t="s">
        <v>18</v>
      </c>
    </row>
    <row r="11" customFormat="false" ht="33.75" hidden="false" customHeight="true" outlineLevel="0" collapsed="false">
      <c r="A11" s="4" t="n">
        <v>7</v>
      </c>
      <c r="B11" s="5" t="s">
        <v>12</v>
      </c>
      <c r="C11" s="4" t="s">
        <v>27</v>
      </c>
      <c r="D11" s="6" t="s">
        <v>34</v>
      </c>
      <c r="E11" s="4" t="s">
        <v>23</v>
      </c>
      <c r="F11" s="7" t="s">
        <v>16</v>
      </c>
      <c r="G11" s="4" t="n">
        <v>3</v>
      </c>
      <c r="H11" s="8" t="n">
        <v>0</v>
      </c>
      <c r="I11" s="6" t="s">
        <v>35</v>
      </c>
      <c r="J11" s="9" t="s">
        <v>18</v>
      </c>
    </row>
    <row r="12" customFormat="false" ht="33.75" hidden="false" customHeight="true" outlineLevel="0" collapsed="false">
      <c r="A12" s="4" t="n">
        <v>8</v>
      </c>
      <c r="B12" s="5" t="s">
        <v>12</v>
      </c>
      <c r="C12" s="4" t="s">
        <v>27</v>
      </c>
      <c r="D12" s="6" t="s">
        <v>36</v>
      </c>
      <c r="E12" s="4" t="s">
        <v>37</v>
      </c>
      <c r="F12" s="10" t="s">
        <v>29</v>
      </c>
      <c r="G12" s="4" t="n">
        <v>3</v>
      </c>
      <c r="H12" s="8" t="n">
        <v>0</v>
      </c>
      <c r="I12" s="6" t="s">
        <v>38</v>
      </c>
      <c r="J12" s="9" t="s">
        <v>18</v>
      </c>
    </row>
    <row r="13" customFormat="false" ht="33.75" hidden="false" customHeight="true" outlineLevel="0" collapsed="false">
      <c r="A13" s="4" t="n">
        <v>9</v>
      </c>
      <c r="B13" s="11" t="s">
        <v>39</v>
      </c>
      <c r="C13" s="4" t="s">
        <v>40</v>
      </c>
      <c r="D13" s="6" t="s">
        <v>41</v>
      </c>
      <c r="E13" s="4" t="s">
        <v>23</v>
      </c>
      <c r="F13" s="7" t="s">
        <v>16</v>
      </c>
      <c r="G13" s="4" t="n">
        <v>4</v>
      </c>
      <c r="H13" s="8" t="n">
        <v>0</v>
      </c>
      <c r="I13" s="6" t="s">
        <v>42</v>
      </c>
      <c r="J13" s="9" t="s">
        <v>18</v>
      </c>
    </row>
    <row r="14" customFormat="false" ht="33.75" hidden="false" customHeight="true" outlineLevel="0" collapsed="false">
      <c r="A14" s="4" t="n">
        <v>10</v>
      </c>
      <c r="B14" s="11" t="s">
        <v>39</v>
      </c>
      <c r="C14" s="4" t="s">
        <v>43</v>
      </c>
      <c r="D14" s="6" t="s">
        <v>44</v>
      </c>
      <c r="E14" s="4" t="s">
        <v>45</v>
      </c>
      <c r="F14" s="7" t="s">
        <v>16</v>
      </c>
      <c r="G14" s="4" t="n">
        <v>16</v>
      </c>
      <c r="H14" s="8" t="n">
        <v>0</v>
      </c>
      <c r="I14" s="6" t="s">
        <v>46</v>
      </c>
      <c r="J14" s="9" t="s">
        <v>18</v>
      </c>
    </row>
    <row r="15" customFormat="false" ht="33.75" hidden="false" customHeight="true" outlineLevel="0" collapsed="false">
      <c r="A15" s="4" t="n">
        <v>11</v>
      </c>
      <c r="B15" s="11" t="s">
        <v>39</v>
      </c>
      <c r="C15" s="4" t="s">
        <v>47</v>
      </c>
      <c r="D15" s="6" t="s">
        <v>48</v>
      </c>
      <c r="E15" s="4" t="s">
        <v>45</v>
      </c>
      <c r="F15" s="7" t="s">
        <v>16</v>
      </c>
      <c r="G15" s="4" t="n">
        <v>12</v>
      </c>
      <c r="H15" s="8" t="n">
        <v>0</v>
      </c>
      <c r="I15" s="6" t="s">
        <v>49</v>
      </c>
      <c r="J15" s="9" t="s">
        <v>18</v>
      </c>
    </row>
    <row r="16" customFormat="false" ht="33.75" hidden="false" customHeight="true" outlineLevel="0" collapsed="false">
      <c r="A16" s="4" t="n">
        <v>12</v>
      </c>
      <c r="B16" s="11" t="s">
        <v>39</v>
      </c>
      <c r="C16" s="4" t="s">
        <v>50</v>
      </c>
      <c r="D16" s="6" t="s">
        <v>51</v>
      </c>
      <c r="E16" s="4" t="s">
        <v>23</v>
      </c>
      <c r="F16" s="10" t="s">
        <v>29</v>
      </c>
      <c r="G16" s="4" t="n">
        <v>6</v>
      </c>
      <c r="H16" s="8" t="n">
        <v>0</v>
      </c>
      <c r="I16" s="6" t="s">
        <v>52</v>
      </c>
      <c r="J16" s="9" t="s">
        <v>18</v>
      </c>
    </row>
    <row r="17" customFormat="false" ht="33.75" hidden="false" customHeight="true" outlineLevel="0" collapsed="false">
      <c r="A17" s="4" t="n">
        <v>13</v>
      </c>
      <c r="B17" s="11" t="s">
        <v>39</v>
      </c>
      <c r="C17" s="4" t="s">
        <v>40</v>
      </c>
      <c r="D17" s="6" t="s">
        <v>53</v>
      </c>
      <c r="E17" s="4" t="s">
        <v>54</v>
      </c>
      <c r="F17" s="7" t="s">
        <v>16</v>
      </c>
      <c r="G17" s="4" t="n">
        <v>4</v>
      </c>
      <c r="H17" s="8" t="n">
        <v>0</v>
      </c>
      <c r="I17" s="6" t="s">
        <v>55</v>
      </c>
      <c r="J17" s="9" t="s">
        <v>18</v>
      </c>
    </row>
    <row r="18" customFormat="false" ht="33.75" hidden="false" customHeight="true" outlineLevel="0" collapsed="false">
      <c r="A18" s="4" t="n">
        <v>14</v>
      </c>
      <c r="B18" s="11" t="s">
        <v>39</v>
      </c>
      <c r="C18" s="4" t="s">
        <v>56</v>
      </c>
      <c r="D18" s="6" t="s">
        <v>57</v>
      </c>
      <c r="E18" s="4" t="s">
        <v>45</v>
      </c>
      <c r="F18" s="10" t="s">
        <v>29</v>
      </c>
      <c r="G18" s="4" t="n">
        <v>16</v>
      </c>
      <c r="H18" s="8" t="n">
        <v>0</v>
      </c>
      <c r="I18" s="6" t="s">
        <v>58</v>
      </c>
      <c r="J18" s="9" t="s">
        <v>18</v>
      </c>
    </row>
    <row r="19" customFormat="false" ht="33.75" hidden="false" customHeight="true" outlineLevel="0" collapsed="false">
      <c r="A19" s="4" t="n">
        <v>15</v>
      </c>
      <c r="B19" s="11" t="s">
        <v>39</v>
      </c>
      <c r="C19" s="4" t="s">
        <v>59</v>
      </c>
      <c r="D19" s="6" t="s">
        <v>60</v>
      </c>
      <c r="E19" s="4" t="s">
        <v>23</v>
      </c>
      <c r="F19" s="10" t="s">
        <v>29</v>
      </c>
      <c r="G19" s="4" t="n">
        <v>4</v>
      </c>
      <c r="H19" s="8" t="n">
        <v>0</v>
      </c>
      <c r="I19" s="6" t="s">
        <v>61</v>
      </c>
      <c r="J19" s="9" t="s">
        <v>18</v>
      </c>
    </row>
    <row r="20" customFormat="false" ht="33.75" hidden="false" customHeight="true" outlineLevel="0" collapsed="false">
      <c r="A20" s="4" t="n">
        <v>16</v>
      </c>
      <c r="B20" s="12" t="s">
        <v>62</v>
      </c>
      <c r="C20" s="4" t="s">
        <v>63</v>
      </c>
      <c r="D20" s="6" t="s">
        <v>64</v>
      </c>
      <c r="E20" s="4" t="s">
        <v>65</v>
      </c>
      <c r="F20" s="10" t="s">
        <v>29</v>
      </c>
      <c r="G20" s="4" t="n">
        <v>4</v>
      </c>
      <c r="H20" s="8" t="n">
        <v>0</v>
      </c>
      <c r="I20" s="6" t="s">
        <v>66</v>
      </c>
      <c r="J20" s="9" t="s">
        <v>18</v>
      </c>
    </row>
    <row r="21" customFormat="false" ht="33.75" hidden="false" customHeight="true" outlineLevel="0" collapsed="false">
      <c r="A21" s="4" t="n">
        <v>17</v>
      </c>
      <c r="B21" s="12" t="s">
        <v>62</v>
      </c>
      <c r="C21" s="4" t="s">
        <v>67</v>
      </c>
      <c r="D21" s="6" t="s">
        <v>68</v>
      </c>
      <c r="E21" s="4" t="s">
        <v>69</v>
      </c>
      <c r="F21" s="10" t="s">
        <v>29</v>
      </c>
      <c r="G21" s="4" t="n">
        <v>20</v>
      </c>
      <c r="H21" s="8" t="n">
        <v>0</v>
      </c>
      <c r="I21" s="6" t="s">
        <v>70</v>
      </c>
      <c r="J21" s="9" t="s">
        <v>18</v>
      </c>
    </row>
    <row r="22" customFormat="false" ht="33.75" hidden="false" customHeight="true" outlineLevel="0" collapsed="false">
      <c r="A22" s="4" t="n">
        <v>18</v>
      </c>
      <c r="B22" s="12" t="s">
        <v>62</v>
      </c>
      <c r="C22" s="4" t="s">
        <v>71</v>
      </c>
      <c r="D22" s="6" t="s">
        <v>72</v>
      </c>
      <c r="E22" s="4" t="s">
        <v>73</v>
      </c>
      <c r="F22" s="7" t="s">
        <v>16</v>
      </c>
      <c r="G22" s="4" t="n">
        <v>10</v>
      </c>
      <c r="H22" s="8" t="n">
        <v>0</v>
      </c>
      <c r="I22" s="6" t="s">
        <v>74</v>
      </c>
      <c r="J22" s="9" t="s">
        <v>18</v>
      </c>
    </row>
    <row r="23" customFormat="false" ht="33.75" hidden="false" customHeight="true" outlineLevel="0" collapsed="false">
      <c r="A23" s="4" t="n">
        <v>19</v>
      </c>
      <c r="B23" s="12" t="s">
        <v>62</v>
      </c>
      <c r="C23" s="4" t="s">
        <v>75</v>
      </c>
      <c r="D23" s="6" t="s">
        <v>76</v>
      </c>
      <c r="E23" s="4" t="s">
        <v>77</v>
      </c>
      <c r="F23" s="10" t="s">
        <v>29</v>
      </c>
      <c r="G23" s="4" t="n">
        <v>6</v>
      </c>
      <c r="H23" s="8" t="n">
        <v>0</v>
      </c>
      <c r="I23" s="6" t="s">
        <v>78</v>
      </c>
      <c r="J23" s="9" t="s">
        <v>18</v>
      </c>
    </row>
    <row r="24" customFormat="false" ht="33.75" hidden="false" customHeight="true" outlineLevel="0" collapsed="false">
      <c r="A24" s="4" t="n">
        <v>20</v>
      </c>
      <c r="B24" s="12" t="s">
        <v>62</v>
      </c>
      <c r="C24" s="4" t="s">
        <v>79</v>
      </c>
      <c r="D24" s="6" t="s">
        <v>80</v>
      </c>
      <c r="E24" s="4" t="s">
        <v>81</v>
      </c>
      <c r="F24" s="7" t="s">
        <v>16</v>
      </c>
      <c r="G24" s="4" t="n">
        <v>6</v>
      </c>
      <c r="H24" s="8" t="n">
        <v>0</v>
      </c>
      <c r="I24" s="6" t="s">
        <v>82</v>
      </c>
      <c r="J24" s="9" t="s">
        <v>18</v>
      </c>
    </row>
    <row r="25" customFormat="false" ht="33.75" hidden="false" customHeight="true" outlineLevel="0" collapsed="false">
      <c r="A25" s="4" t="n">
        <v>21</v>
      </c>
      <c r="B25" s="10" t="s">
        <v>83</v>
      </c>
      <c r="C25" s="4" t="s">
        <v>84</v>
      </c>
      <c r="D25" s="6" t="s">
        <v>85</v>
      </c>
      <c r="E25" s="4" t="s">
        <v>86</v>
      </c>
      <c r="F25" s="10" t="s">
        <v>29</v>
      </c>
      <c r="G25" s="4" t="n">
        <v>6</v>
      </c>
      <c r="H25" s="8" t="n">
        <v>90000</v>
      </c>
      <c r="I25" s="6" t="s">
        <v>87</v>
      </c>
      <c r="J25" s="9" t="s">
        <v>18</v>
      </c>
    </row>
    <row r="26" customFormat="false" ht="33.75" hidden="false" customHeight="true" outlineLevel="0" collapsed="false">
      <c r="A26" s="4" t="n">
        <v>22</v>
      </c>
      <c r="B26" s="10" t="s">
        <v>83</v>
      </c>
      <c r="C26" s="4" t="s">
        <v>88</v>
      </c>
      <c r="D26" s="6" t="s">
        <v>89</v>
      </c>
      <c r="E26" s="4" t="s">
        <v>37</v>
      </c>
      <c r="F26" s="7" t="s">
        <v>16</v>
      </c>
      <c r="G26" s="4" t="n">
        <v>6</v>
      </c>
      <c r="H26" s="8" t="n">
        <v>0</v>
      </c>
      <c r="I26" s="6" t="s">
        <v>90</v>
      </c>
      <c r="J26" s="9" t="s">
        <v>18</v>
      </c>
    </row>
    <row r="27" customFormat="false" ht="33.75" hidden="false" customHeight="true" outlineLevel="0" collapsed="false">
      <c r="A27" s="4" t="n">
        <v>23</v>
      </c>
      <c r="B27" s="10" t="s">
        <v>83</v>
      </c>
      <c r="C27" s="4" t="s">
        <v>91</v>
      </c>
      <c r="D27" s="6" t="s">
        <v>92</v>
      </c>
      <c r="E27" s="4" t="s">
        <v>93</v>
      </c>
      <c r="F27" s="7" t="s">
        <v>16</v>
      </c>
      <c r="G27" s="4" t="n">
        <v>4</v>
      </c>
      <c r="H27" s="8" t="n">
        <v>0</v>
      </c>
      <c r="I27" s="6" t="s">
        <v>94</v>
      </c>
      <c r="J27" s="9" t="s">
        <v>18</v>
      </c>
    </row>
    <row r="28" customFormat="false" ht="15" hidden="false" customHeight="false" outlineLevel="0" collapsed="false">
      <c r="A28" s="13"/>
      <c r="B28" s="13"/>
      <c r="C28" s="13"/>
      <c r="D28" s="14" t="s">
        <v>95</v>
      </c>
      <c r="E28" s="13"/>
      <c r="F28" s="13"/>
      <c r="G28" s="14" t="n">
        <f aca="false">SUM(G5:G27)</f>
        <v>145</v>
      </c>
      <c r="H28" s="15" t="n">
        <f aca="false">SUM(H5:H27)</f>
        <v>100000</v>
      </c>
      <c r="I28" s="13"/>
      <c r="J28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1" t="s">
        <v>96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3" t="s">
        <v>97</v>
      </c>
      <c r="B3" s="3" t="s">
        <v>98</v>
      </c>
      <c r="C3" s="3" t="s">
        <v>99</v>
      </c>
      <c r="D3" s="3" t="s">
        <v>100</v>
      </c>
      <c r="E3" s="3" t="s">
        <v>101</v>
      </c>
      <c r="F3" s="3" t="s">
        <v>102</v>
      </c>
    </row>
    <row r="4" customFormat="false" ht="30" hidden="false" customHeight="true" outlineLevel="0" collapsed="false">
      <c r="A4" s="6" t="s">
        <v>103</v>
      </c>
      <c r="B4" s="9" t="s">
        <v>104</v>
      </c>
      <c r="C4" s="4" t="s">
        <v>105</v>
      </c>
      <c r="D4" s="4" t="s">
        <v>106</v>
      </c>
      <c r="E4" s="4" t="s">
        <v>107</v>
      </c>
      <c r="F4" s="6" t="s">
        <v>108</v>
      </c>
    </row>
    <row r="5" customFormat="false" ht="30" hidden="false" customHeight="true" outlineLevel="0" collapsed="false">
      <c r="A5" s="6" t="s">
        <v>109</v>
      </c>
      <c r="B5" s="9" t="s">
        <v>110</v>
      </c>
      <c r="C5" s="4" t="s">
        <v>111</v>
      </c>
      <c r="D5" s="4" t="s">
        <v>112</v>
      </c>
      <c r="E5" s="4" t="s">
        <v>113</v>
      </c>
      <c r="F5" s="6" t="s">
        <v>114</v>
      </c>
    </row>
    <row r="6" customFormat="false" ht="30" hidden="false" customHeight="true" outlineLevel="0" collapsed="false">
      <c r="A6" s="6" t="s">
        <v>115</v>
      </c>
      <c r="B6" s="9" t="s">
        <v>116</v>
      </c>
      <c r="C6" s="4" t="s">
        <v>117</v>
      </c>
      <c r="D6" s="4" t="s">
        <v>118</v>
      </c>
      <c r="E6" s="4" t="s">
        <v>119</v>
      </c>
      <c r="F6" s="6" t="s">
        <v>120</v>
      </c>
    </row>
    <row r="7" customFormat="false" ht="30" hidden="false" customHeight="true" outlineLevel="0" collapsed="false">
      <c r="A7" s="6" t="s">
        <v>121</v>
      </c>
      <c r="B7" s="9" t="s">
        <v>110</v>
      </c>
      <c r="C7" s="4" t="s">
        <v>122</v>
      </c>
      <c r="D7" s="4" t="s">
        <v>123</v>
      </c>
      <c r="E7" s="4" t="s">
        <v>124</v>
      </c>
      <c r="F7" s="6" t="s">
        <v>125</v>
      </c>
    </row>
    <row r="8" customFormat="false" ht="30" hidden="false" customHeight="true" outlineLevel="0" collapsed="false">
      <c r="A8" s="6" t="s">
        <v>126</v>
      </c>
      <c r="B8" s="9" t="s">
        <v>127</v>
      </c>
      <c r="C8" s="4" t="s">
        <v>128</v>
      </c>
      <c r="D8" s="4" t="s">
        <v>128</v>
      </c>
      <c r="E8" s="4" t="s">
        <v>129</v>
      </c>
      <c r="F8" s="6" t="s">
        <v>130</v>
      </c>
    </row>
    <row r="9" customFormat="false" ht="30" hidden="false" customHeight="true" outlineLevel="0" collapsed="false">
      <c r="A9" s="6" t="s">
        <v>131</v>
      </c>
      <c r="B9" s="9" t="s">
        <v>132</v>
      </c>
      <c r="C9" s="4" t="s">
        <v>133</v>
      </c>
      <c r="D9" s="4" t="s">
        <v>134</v>
      </c>
      <c r="E9" s="4" t="s">
        <v>135</v>
      </c>
      <c r="F9" s="6" t="s">
        <v>130</v>
      </c>
    </row>
    <row r="10" customFormat="false" ht="30" hidden="false" customHeight="true" outlineLevel="0" collapsed="false">
      <c r="A10" s="6" t="s">
        <v>136</v>
      </c>
      <c r="B10" s="9" t="s">
        <v>137</v>
      </c>
      <c r="C10" s="4" t="s">
        <v>138</v>
      </c>
      <c r="D10" s="4" t="s">
        <v>139</v>
      </c>
      <c r="E10" s="4" t="s">
        <v>140</v>
      </c>
      <c r="F10" s="6" t="s">
        <v>141</v>
      </c>
    </row>
    <row r="11" customFormat="false" ht="30" hidden="false" customHeight="true" outlineLevel="0" collapsed="false">
      <c r="A11" s="6" t="s">
        <v>142</v>
      </c>
      <c r="B11" s="9" t="s">
        <v>143</v>
      </c>
      <c r="C11" s="4" t="s">
        <v>144</v>
      </c>
      <c r="D11" s="4" t="s">
        <v>145</v>
      </c>
      <c r="E11" s="4" t="s">
        <v>145</v>
      </c>
      <c r="F11" s="6" t="s">
        <v>146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46"/>
  </cols>
  <sheetData>
    <row r="1" customFormat="false" ht="27.75" hidden="false" customHeight="true" outlineLevel="0" collapsed="false">
      <c r="A1" s="1" t="s">
        <v>147</v>
      </c>
      <c r="B1" s="1"/>
      <c r="C1" s="1"/>
      <c r="D1" s="1"/>
    </row>
    <row r="3" customFormat="false" ht="25.5" hidden="false" customHeight="true" outlineLevel="0" collapsed="false">
      <c r="A3" s="3" t="s">
        <v>148</v>
      </c>
      <c r="B3" s="3" t="s">
        <v>149</v>
      </c>
      <c r="C3" s="3" t="s">
        <v>150</v>
      </c>
      <c r="D3" s="3" t="s">
        <v>151</v>
      </c>
    </row>
    <row r="4" customFormat="false" ht="45.75" hidden="false" customHeight="true" outlineLevel="0" collapsed="false">
      <c r="A4" s="6" t="s">
        <v>152</v>
      </c>
      <c r="B4" s="7" t="s">
        <v>16</v>
      </c>
      <c r="C4" s="6" t="s">
        <v>153</v>
      </c>
      <c r="D4" s="6" t="s">
        <v>154</v>
      </c>
    </row>
    <row r="5" customFormat="false" ht="45.75" hidden="false" customHeight="true" outlineLevel="0" collapsed="false">
      <c r="A5" s="6" t="s">
        <v>155</v>
      </c>
      <c r="B5" s="7" t="s">
        <v>16</v>
      </c>
      <c r="C5" s="6" t="s">
        <v>156</v>
      </c>
      <c r="D5" s="6" t="s">
        <v>157</v>
      </c>
    </row>
    <row r="6" customFormat="false" ht="45.75" hidden="false" customHeight="true" outlineLevel="0" collapsed="false">
      <c r="A6" s="6" t="s">
        <v>158</v>
      </c>
      <c r="B6" s="10" t="s">
        <v>29</v>
      </c>
      <c r="C6" s="6" t="s">
        <v>159</v>
      </c>
      <c r="D6" s="6" t="s">
        <v>160</v>
      </c>
    </row>
    <row r="7" customFormat="false" ht="45.75" hidden="false" customHeight="true" outlineLevel="0" collapsed="false">
      <c r="A7" s="6" t="s">
        <v>161</v>
      </c>
      <c r="B7" s="10" t="s">
        <v>29</v>
      </c>
      <c r="C7" s="6" t="s">
        <v>162</v>
      </c>
      <c r="D7" s="6" t="s">
        <v>163</v>
      </c>
    </row>
    <row r="8" customFormat="false" ht="45.75" hidden="false" customHeight="true" outlineLevel="0" collapsed="false">
      <c r="A8" s="6" t="s">
        <v>164</v>
      </c>
      <c r="B8" s="10" t="s">
        <v>29</v>
      </c>
      <c r="C8" s="6" t="s">
        <v>165</v>
      </c>
      <c r="D8" s="6" t="s">
        <v>166</v>
      </c>
    </row>
    <row r="9" customFormat="false" ht="45.75" hidden="false" customHeight="true" outlineLevel="0" collapsed="false">
      <c r="A9" s="6" t="s">
        <v>167</v>
      </c>
      <c r="B9" s="16" t="s">
        <v>168</v>
      </c>
      <c r="C9" s="6" t="s">
        <v>169</v>
      </c>
      <c r="D9" s="6" t="s">
        <v>170</v>
      </c>
    </row>
    <row r="10" customFormat="false" ht="45.75" hidden="false" customHeight="true" outlineLevel="0" collapsed="false">
      <c r="A10" s="6" t="s">
        <v>171</v>
      </c>
      <c r="B10" s="16" t="s">
        <v>168</v>
      </c>
      <c r="C10" s="6" t="s">
        <v>172</v>
      </c>
      <c r="D10" s="6" t="s">
        <v>173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2026-06-24T03:34:45Z</dcterms:created>
  <dc:creator>openpyxl</dc:creator>
  <dc:description/>
  <dc:language>en-US</dc:language>
  <cp:lastModifiedBy/>
  <dcterms:modified xsi:type="dcterms:W3CDTF">2026-06-24T03:34:45Z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